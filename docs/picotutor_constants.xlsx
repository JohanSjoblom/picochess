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d.docs.live.net/0df4e15eade0db01/Picochess/"/>
    </mc:Choice>
  </mc:AlternateContent>
  <xr:revisionPtr revIDLastSave="314" documentId="13_ncr:1_{6EAC6A8E-1A42-4B8F-994C-246F3D508F0A}" xr6:coauthVersionLast="47" xr6:coauthVersionMax="47" xr10:uidLastSave="{1247858D-106F-433D-9C76-7E8061A7A192}"/>
  <bookViews>
    <workbookView xWindow="-120" yWindow="-120" windowWidth="29040" windowHeight="15720" activeTab="3" xr2:uid="{00000000-000D-0000-FFFF-FFFF00000000}"/>
  </bookViews>
  <sheets>
    <sheet name="Parameters" sheetId="1" r:id="rId1"/>
    <sheet name="Cambridge" sheetId="2" r:id="rId2"/>
    <sheet name="Texts" sheetId="3" r:id="rId3"/>
    <sheet name="Code" sheetId="4" r:id="rId4"/>
  </sheets>
  <definedNames>
    <definedName name="_xlnm.Print_Area" localSheetId="1">Cambridge!$A$1:$F$10</definedName>
    <definedName name="_xlnm.Print_Area" localSheetId="3">Code!$A$1:$A$37</definedName>
    <definedName name="_xlnm.Print_Area" localSheetId="0">Parameters!$A$1:$I$19</definedName>
    <definedName name="_xlnm.Print_Area" localSheetId="2">Texts!$A$1:$A$35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1" l="1"/>
  <c r="D19" i="1"/>
  <c r="D17" i="1"/>
  <c r="D15" i="1"/>
  <c r="D14" i="1"/>
  <c r="D12" i="1"/>
  <c r="D11" i="1"/>
  <c r="D7" i="1"/>
  <c r="D8" i="1"/>
  <c r="D6" i="1"/>
  <c r="F7" i="1"/>
  <c r="F8" i="1"/>
  <c r="F10" i="1"/>
  <c r="F11" i="1"/>
  <c r="F12" i="1"/>
  <c r="F6" i="1"/>
</calcChain>
</file>

<file path=xl/sharedStrings.xml><?xml version="1.0" encoding="utf-8"?>
<sst xmlns="http://schemas.openxmlformats.org/spreadsheetml/2006/main" count="146" uniqueCount="143">
  <si>
    <t>LOW_DEPTH</t>
  </si>
  <si>
    <t>DEEP_DEPTH</t>
  </si>
  <si>
    <t>VERY_BAD_MOVE_TH</t>
  </si>
  <si>
    <t>BAD_MOVE_TH</t>
  </si>
  <si>
    <t>DUBIOUS_TH</t>
  </si>
  <si>
    <t>VERY_GOOD_MOVE_TH</t>
  </si>
  <si>
    <t>GOOD_MOVE_TH</t>
  </si>
  <si>
    <t>INTERESTING_TH</t>
  </si>
  <si>
    <t>POS_INCREASE</t>
  </si>
  <si>
    <t>POS_DECREASE</t>
  </si>
  <si>
    <t>VERY_GOOD_IMPROVE_TH</t>
  </si>
  <si>
    <t>GOOD_IMPROVE_TH</t>
  </si>
  <si>
    <t>UNCLEAR_DIFF</t>
  </si>
  <si>
    <t>PARAMETER NAME</t>
  </si>
  <si>
    <t>?? Very bad move</t>
  </si>
  <si>
    <t>? Bad move</t>
  </si>
  <si>
    <t>?! Questionable move</t>
  </si>
  <si>
    <t>!! Very good move</t>
  </si>
  <si>
    <t>! Good move</t>
  </si>
  <si>
    <t>!? Interesting move</t>
  </si>
  <si>
    <t>OLD VALUE</t>
  </si>
  <si>
    <t>NEW VALUE</t>
  </si>
  <si>
    <t>RATIO</t>
  </si>
  <si>
    <t>D1 - delta 1</t>
  </si>
  <si>
    <t>D2 - delta 2</t>
  </si>
  <si>
    <t>G1</t>
  </si>
  <si>
    <t>G2</t>
  </si>
  <si>
    <t>DS - delta S</t>
  </si>
  <si>
    <t>K</t>
  </si>
  <si>
    <t>Model curvature</t>
  </si>
  <si>
    <t>limit search for obvious/low moves (min-ply)</t>
  </si>
  <si>
    <t>limit search for best/deep moves (max ply)</t>
  </si>
  <si>
    <r>
      <t xml:space="preserve">lost centipawns on obvious/low, larger = </t>
    </r>
    <r>
      <rPr>
        <b/>
        <sz val="11"/>
        <color theme="1"/>
        <rFont val="Calibri"/>
        <family val="2"/>
        <scheme val="minor"/>
      </rPr>
      <t>Not obvious</t>
    </r>
  </si>
  <si>
    <t>used in ?!</t>
  </si>
  <si>
    <t>used in !?</t>
  </si>
  <si>
    <t>Unclear position</t>
  </si>
  <si>
    <t>Complicated position</t>
  </si>
  <si>
    <t>best_deep_diff</t>
  </si>
  <si>
    <t>D1 &gt; BAD_MOVE_TH and D2 &gt; BAD_MOVE_TH</t>
  </si>
  <si>
    <t>D1 &gt; VERY_BAD_MOVE_TH and D2 &gt; VERY_BAD_MOVE_TH</t>
  </si>
  <si>
    <t>score_hist_diff</t>
  </si>
  <si>
    <t>deep_low_diff</t>
  </si>
  <si>
    <t>best_deep_diff &gt; c.VERY_BAD_MOVE_TH and legal_no</t>
  </si>
  <si>
    <t>best_deep_diff &gt; c.BAD_MOVE_TH</t>
  </si>
  <si>
    <t>best_deep_diff &gt; c.DUBIOUS_TH and abs(deep_low_diff) &gt; c.UNCLEAR_DIFF and score_hist_diff &gt; c.POS_INCREASE</t>
  </si>
  <si>
    <t>best_deep_diff &lt;= c.GOOD_MOVE_TH and deep_low_diff &gt; c.GOOD_IMPROVE_TH and legal_no &gt; 1</t>
  </si>
  <si>
    <r>
      <rPr>
        <b/>
        <sz val="11"/>
        <color theme="1"/>
        <rFont val="Calibri"/>
        <family val="2"/>
        <scheme val="minor"/>
      </rPr>
      <t>lost centipawns</t>
    </r>
    <r>
      <rPr>
        <sz val="11"/>
        <color theme="1"/>
        <rFont val="Calibri"/>
        <family val="2"/>
        <scheme val="minor"/>
      </rPr>
      <t xml:space="preserve"> on best/deep, smaller = </t>
    </r>
    <r>
      <rPr>
        <b/>
        <sz val="11"/>
        <color theme="1"/>
        <rFont val="Calibri"/>
        <family val="2"/>
        <scheme val="minor"/>
      </rPr>
      <t>objectively good</t>
    </r>
  </si>
  <si>
    <t>Although Cambridge text refers to checking both D1 and D2 "old" picotutor code only uses D2</t>
  </si>
  <si>
    <t>best_deep_diff &lt; c.INTERESTING_TH and abs(deep_low_diff) &gt; c.UNCLEAR_DIFF and score_hist_diff &lt; c.POS_DECREASE</t>
  </si>
  <si>
    <r>
      <t xml:space="preserve">diff deep minus low, larger value = </t>
    </r>
    <r>
      <rPr>
        <b/>
        <sz val="11"/>
        <color theme="1"/>
        <rFont val="Calibri"/>
        <family val="2"/>
        <scheme val="minor"/>
      </rPr>
      <t>Surprising and Not obvious</t>
    </r>
  </si>
  <si>
    <t>number of moves investigated</t>
  </si>
  <si>
    <t>...ROOT_MOVES</t>
  </si>
  <si>
    <t>Python code formula (If)</t>
  </si>
  <si>
    <t>"Cambridge" DEFINITIONS</t>
  </si>
  <si>
    <t>"Cambridge" formula (If)</t>
  </si>
  <si>
    <t>"Cambridge" variable</t>
  </si>
  <si>
    <t>Python variable</t>
  </si>
  <si>
    <t>Few low-ply good moves</t>
  </si>
  <si>
    <t>low-ply moves: some good, some bad</t>
  </si>
  <si>
    <t>The difference between move value at min. ply for the current move and best move.</t>
  </si>
  <si>
    <t>The difference between move value at max. ply for the current move and best move.</t>
  </si>
  <si>
    <t>The difference between the current move's value at max. and min. ply.</t>
  </si>
  <si>
    <t>The model's gradient at min. ply</t>
  </si>
  <si>
    <t>The model's gradient at max. ply</t>
  </si>
  <si>
    <t>The model's curvature.</t>
  </si>
  <si>
    <t>Python code formula</t>
  </si>
  <si>
    <t>"Cambridge" formula comments</t>
  </si>
  <si>
    <t>Cambridge definitions</t>
  </si>
  <si>
    <t xml:space="preserve">!? and ?! Have contradictions between Cambridge text and the formula. G1 vs G2. DS high vs low. Used python formula seems to be more pragmatic </t>
  </si>
  <si>
    <t>My explanation to "Cambridge" variable</t>
  </si>
  <si>
    <t>PARAMETER EXPLANATION</t>
  </si>
  <si>
    <t>200 ?</t>
  </si>
  <si>
    <t>change of score since last move (best/deep)</t>
  </si>
  <si>
    <t>change of score since last move (obvious/low)</t>
  </si>
  <si>
    <t>current_score - low_score</t>
  </si>
  <si>
    <t>best_score - current_score (best/deep)</t>
  </si>
  <si>
    <r>
      <t xml:space="preserve">best_deep_diff &lt;= c.VERY_GOOD_MOVE_TH and deep_low_diff &gt; c.VERY_GOOD_IMPROVE_TH </t>
    </r>
    <r>
      <rPr>
        <b/>
        <sz val="11"/>
        <color theme="1"/>
        <rFont val="Calibri"/>
        <family val="2"/>
        <scheme val="minor"/>
      </rPr>
      <t>and not</t>
    </r>
    <r>
      <rPr>
        <sz val="11"/>
        <color theme="1"/>
        <rFont val="Calibri"/>
        <family val="2"/>
        <scheme val="minor"/>
      </rPr>
      <t xml:space="preserve"> ((best_score == 999 and (best_mate == current_mate)) and legal_no &lt;= 2)</t>
    </r>
  </si>
  <si>
    <t>current_score - before_score (best/deep, before = previous history move score)</t>
  </si>
  <si>
    <t>D1, D2 &gt; threshold</t>
  </si>
  <si>
    <t>D2 &lt; Threshold, DS &gt; treshold</t>
  </si>
  <si>
    <t>D2 &lt; treshold, High DS, G2&lt;POS_DECREASE</t>
  </si>
  <si>
    <t>D2 &gt; treshold, High DS, G2&gt;POS_INCREASE</t>
  </si>
  <si>
    <t>D2 &lt; treshold, DS &gt; Treshold, D1&gt;Treshold, K concave</t>
  </si>
  <si>
    <t>used in !!</t>
  </si>
  <si>
    <t>used in !</t>
  </si>
  <si>
    <t>used in ?! and !?</t>
  </si>
  <si>
    <t>http://www2.eng.cam.ac.uk/~tpl/chess/annotation.html</t>
  </si>
  <si>
    <t xml:space="preserve">    Computers and Chess Annotation</t>
  </si>
  <si>
    <t xml:space="preserve">    Δ1 -    The difference between move value at min. ply for the current move and best move.</t>
  </si>
  <si>
    <t xml:space="preserve">    Δ2 -    The difference between move value at max. ply for the current move and best move.</t>
  </si>
  <si>
    <t xml:space="preserve">    ΔS -    The difference between the current move's value at max. and min. ply.</t>
  </si>
  <si>
    <t xml:space="preserve">    G1 -    The model's gradient at min. ply</t>
  </si>
  <si>
    <t xml:space="preserve">    G2 -    The model's gradient at max. ply</t>
  </si>
  <si>
    <t xml:space="preserve">    K - The model's curvature.</t>
  </si>
  <si>
    <t xml:space="preserve">    Classification occurs as follows:</t>
  </si>
  <si>
    <t xml:space="preserve">    Blunders (?, ??) are characterised as being clearly much worse than the optimal move in a given position. Hence, we define a move as a blunder if both Δ1 and Δ2 are greater than a certain threshold - for example, I have found thresholds of 50 for ? and 150 for ?? to work well in test games.</t>
  </si>
  <si>
    <t xml:space="preserve">    # noqa E501</t>
  </si>
  <si>
    <t xml:space="preserve">    Exceptional Moves (!, !!) are always ultimately good moves (hence Δ2 must either be small, or, especially in the case of !!, zero), and show improvement with ply (ie. ΔS is positive and, in the case of !!, greater than a positive threshold). We need to take care that the move is not too obviously good - thus we require Δ1 to be greater than a threshold, such that the move was not clearly the best at first glance. We also don't want the move to rapidly become good, as this makes the move's goodness clear to the player without very intensive evaluation - we therefore require the model's curvature to be concave, linear, or at most shallowly convex, otherwise the move's true nature becomes clear at relatively low ply.</t>
  </si>
  <si>
    <t xml:space="preserve">    Unclear Moves (?!, !?) need to be both sufficiently good/bad-seeming to warrant a mark, and sufficiently volatile to warrant denotation as being unclear. We detect the apparent initial interest in the move by a high magnitude of G1 - very positive initial gradient makes a move look as though it might be exceptional (!?), while very negative initial gradient makes the move look as though it might be a blunder (?!). We detect the volatility by the curvature - we demand that the curvature be both high in magnitude and acting in the opposite direction to the initial gradient. Finally, we need the max. ply value to be reasonably close to the initial value for the move (ie. the magnitude of ΔS needs to be low) - if it's a lot higher, then the move is better described as exceptional, if a lot lower, the move is more accurately a blunder.</t>
  </si>
  <si>
    <t xml:space="preserve">    [Objectively] best move - the move which (as far as can be determined) leads to the best possible position</t>
  </si>
  <si>
    <t xml:space="preserve">    Good move - a move which (as far as can be determined) is close to being the objectively best move</t>
  </si>
  <si>
    <t xml:space="preserve">    Obvious move - a move which using an n-ply analysis (where n is small) is good</t>
  </si>
  <si>
    <t xml:space="preserve">    Easy move - a move which using an n-ply analysis (where n is small) is close to the best move using an n-ply analysis</t>
  </si>
  <si>
    <t xml:space="preserve">    Risky move - a move which leads to a much more unclear position</t>
  </si>
  <si>
    <t xml:space="preserve">    Double-edged move - leading to a complicated position</t>
  </si>
  <si>
    <t xml:space="preserve">    Quiet move - a move which doesn't lead to a more unclear position and doesn't have an immediate threat.</t>
  </si>
  <si>
    <t xml:space="preserve">    ! - a move which is much better than the alternatives and not obvious</t>
  </si>
  <si>
    <t xml:space="preserve">    !! - a move which is much better than the alternatives and not at all obvious</t>
  </si>
  <si>
    <t xml:space="preserve">    ? - a move which is much worse than at least one alternative</t>
  </si>
  <si>
    <t xml:space="preserve">    ?? - a blunder: a move which is much worse than at least one alternative, converting a win into a draw/loss or a draw into a loss</t>
  </si>
  <si>
    <t xml:space="preserve">    !? - not objectively best, but good for pragmatic reasons.</t>
  </si>
  <si>
    <t xml:space="preserve">    ?! - far from objectively best, but maybe good for pragmatic reasons.</t>
  </si>
  <si>
    <t xml:space="preserve">   ###############################################################</t>
  </si>
  <si>
    <t xml:space="preserve">    ## 1. bad moves</t>
  </si>
  <si>
    <t xml:space="preserve">    ###############################################################</t>
  </si>
  <si>
    <t xml:space="preserve">    # Blunder ??</t>
  </si>
  <si>
    <t xml:space="preserve">    ##if D1 &gt; VERY_BAD_MOVE_TH and D2 &gt; VERY_BAD_MOVE_TH:</t>
  </si>
  <si>
    <t xml:space="preserve">    if best_deep_diff &gt; VERY_BAD_MOVE_TH: ## and best_low_diff &gt; VERY_BAD_MOVE_TH:</t>
  </si>
  <si>
    <t xml:space="preserve">    eval_string = '??'</t>
  </si>
  <si>
    <t xml:space="preserve">    # Mistake ?</t>
  </si>
  <si>
    <t xml:space="preserve">    ##elif D1 &gt; BAD_MOVE_TH and D2 &gt; BAD_MOVE_TH:</t>
  </si>
  <si>
    <t xml:space="preserve">    elif best_deep_diff &gt; BAD_MOVE_TH: ## and  best_low_diff  &gt; BAD_MOVE_TH:</t>
  </si>
  <si>
    <t xml:space="preserve">    eval_string = '?'</t>
  </si>
  <si>
    <t xml:space="preserve">    # Dubious</t>
  </si>
  <si>
    <t xml:space="preserve">    elif best_deep_diff &gt; DUBIOUS_TH and abs(deep_low_diff) &gt; UNCLEAR_DIFF and score_hist_diff &gt; POS_INCREASE:</t>
  </si>
  <si>
    <t xml:space="preserve">    eval_string = '?!'</t>
  </si>
  <si>
    <t xml:space="preserve">    ## 2. good moves</t>
  </si>
  <si>
    <t xml:space="preserve">    ##############################################################</t>
  </si>
  <si>
    <t xml:space="preserve">    eval_string2 = ''</t>
  </si>
  <si>
    <t xml:space="preserve">    # very good moves</t>
  </si>
  <si>
    <t xml:space="preserve">    if best_deep_diff &lt;= VERY_GOOD_MOVE_TH and deep_low_diff &gt; VERY_GOOD_IMPROVE_TH:</t>
  </si>
  <si>
    <t xml:space="preserve">    if best_score == 999 and (best_mate == current_mate):</t>
  </si>
  <si>
    <t xml:space="preserve">    pass</t>
  </si>
  <si>
    <t xml:space="preserve">    else:</t>
  </si>
  <si>
    <t xml:space="preserve">    eval_string2 = '!!'</t>
  </si>
  <si>
    <t xml:space="preserve">    # good move</t>
  </si>
  <si>
    <t xml:space="preserve">    elif best_deep_diff &lt;= GOOD_MOVE_TH and deep_low_diff &gt; GOOD_IMPROVE_TH:</t>
  </si>
  <si>
    <t xml:space="preserve">    eval_string2 = '!'</t>
  </si>
  <si>
    <t xml:space="preserve">    ## interesting move</t>
  </si>
  <si>
    <t xml:space="preserve">    elif best_deep_diff &lt; INTERESTING_TH and abs(deep_low_diff) &gt; UNCLEAR_DIFF and score_hist_diff &lt; POS_DECREASE:</t>
  </si>
  <si>
    <t xml:space="preserve">    eval_string2 = '!?'</t>
  </si>
  <si>
    <t xml:space="preserve"> Unclear position - a position where few obvious moves are good.</t>
  </si>
  <si>
    <t xml:space="preserve">    Complicated position - a position where some of the obvious moves are good and some bad.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</si>
</sst>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1" fillId="0" borderId="1" xfId="0" applyFont="1" applyBorder="1" applyAlignment="1">
      <alignment wrapText="1"/>
    </xf>
    <xf numFmtId="0" fontId="0" fillId="0" borderId="1" xfId="0" applyBorder="1" applyAlignment="1">
      <alignment vertical="center" wrapText="1"/>
    </xf>
    <xf numFmtId="0" fontId="0" fillId="0" borderId="1" xfId="0" applyBorder="1"/>
    <xf numFmtId="0" fontId="0" fillId="0" borderId="1" xfId="0" applyBorder="1" applyAlignment="1">
      <alignment wrapText="1"/>
    </xf>
    <xf numFmtId="0" fontId="0" fillId="0" borderId="1" xfId="0" applyBorder="1" applyAlignment="1">
      <alignment vertical="center"/>
    </xf>
    <xf numFmtId="0" fontId="0" fillId="2" borderId="1" xfId="0" applyFill="1" applyBorder="1"/>
    <xf numFmtId="4" fontId="0" fillId="2" borderId="1" xfId="0" applyNumberFormat="1" applyFill="1" applyBorder="1"/>
    <xf numFmtId="0" fontId="1" fillId="0" borderId="1" xfId="0" applyFont="1" applyBorder="1"/>
    <xf numFmtId="4" fontId="0" fillId="0" borderId="1" xfId="0" applyNumberFormat="1" applyBorder="1"/>
    <xf numFmtId="0" fontId="0" fillId="2" borderId="1" xfId="0" applyFill="1" applyBorder="1" applyAlignment="1">
      <alignment vertical="center"/>
    </xf>
    <xf numFmtId="4" fontId="0" fillId="2" borderId="1" xfId="0" applyNumberFormat="1" applyFill="1" applyBorder="1" applyAlignment="1">
      <alignment vertical="center"/>
    </xf>
    <xf numFmtId="4" fontId="0" fillId="0" borderId="1" xfId="0" applyNumberFormat="1" applyBorder="1" applyAlignment="1">
      <alignment vertical="center"/>
    </xf>
    <xf numFmtId="49" fontId="1" fillId="0" borderId="1" xfId="0" applyNumberFormat="1" applyFont="1" applyBorder="1"/>
    <xf numFmtId="49" fontId="0" fillId="0" borderId="1" xfId="0" applyNumberFormat="1" applyBorder="1"/>
    <xf numFmtId="49" fontId="0" fillId="0" borderId="1" xfId="0" applyNumberFormat="1" applyBorder="1" applyAlignment="1">
      <alignment vertical="center"/>
    </xf>
    <xf numFmtId="49" fontId="0" fillId="0" borderId="0" xfId="0" applyNumberFormat="1"/>
    <xf numFmtId="0" fontId="0" fillId="0" borderId="1" xfId="0" quotePrefix="1" applyBorder="1" applyAlignment="1">
      <alignment wrapText="1"/>
    </xf>
    <xf numFmtId="0" fontId="0" fillId="0" borderId="1" xfId="0" quotePrefix="1" applyBorder="1" applyAlignment="1">
      <alignment vertical="center" wrapText="1"/>
    </xf>
    <xf numFmtId="0" fontId="0" fillId="0" borderId="1" xfId="0" applyBorder="1" applyAlignment="1">
      <alignment horizontal="right"/>
    </xf>
    <xf numFmtId="0" fontId="1" fillId="0" borderId="1" xfId="0" applyFont="1"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zoomScale="90" zoomScaleNormal="90" workbookViewId="0">
      <selection activeCell="D14" sqref="D14"/>
    </sheetView>
  </sheetViews>
  <sheetFormatPr defaultRowHeight="15" x14ac:dyDescent="0.25"/>
  <cols>
    <col min="1" max="1" width="52.85546875" style="3" customWidth="1"/>
    <col min="2" max="2" width="25.140625" style="3" customWidth="1"/>
    <col min="3" max="3" width="14.7109375" style="2" bestFit="1" customWidth="1"/>
    <col min="4" max="4" width="11.7109375" bestFit="1" customWidth="1"/>
    <col min="5" max="5" width="9.5703125" customWidth="1"/>
    <col min="6" max="6" width="18.140625" style="19" bestFit="1" customWidth="1"/>
    <col min="7" max="7" width="31.28515625" customWidth="1"/>
    <col min="8" max="8" width="33.140625" customWidth="1"/>
    <col min="9" max="9" width="47.42578125" style="1" customWidth="1"/>
  </cols>
  <sheetData>
    <row r="1" spans="1:9" x14ac:dyDescent="0.25">
      <c r="A1" s="4" t="s">
        <v>70</v>
      </c>
      <c r="B1" s="4" t="s">
        <v>13</v>
      </c>
      <c r="C1" s="11" t="s">
        <v>20</v>
      </c>
      <c r="D1" s="11" t="s">
        <v>21</v>
      </c>
      <c r="E1" s="11" t="s">
        <v>22</v>
      </c>
      <c r="F1" s="16" t="s">
        <v>13</v>
      </c>
      <c r="G1" s="4" t="s">
        <v>53</v>
      </c>
      <c r="H1" s="4" t="s">
        <v>54</v>
      </c>
      <c r="I1" s="4" t="s">
        <v>52</v>
      </c>
    </row>
    <row r="2" spans="1:9" x14ac:dyDescent="0.25">
      <c r="A2" s="7" t="s">
        <v>50</v>
      </c>
      <c r="B2" s="7" t="s">
        <v>51</v>
      </c>
      <c r="C2" s="22" t="s">
        <v>71</v>
      </c>
      <c r="D2" s="6">
        <v>50</v>
      </c>
      <c r="E2" s="6"/>
      <c r="F2" s="17"/>
      <c r="G2" s="6"/>
      <c r="H2" s="7"/>
      <c r="I2" s="7"/>
    </row>
    <row r="3" spans="1:9" x14ac:dyDescent="0.25">
      <c r="A3" s="7" t="s">
        <v>30</v>
      </c>
      <c r="B3" s="7" t="s">
        <v>0</v>
      </c>
      <c r="C3" s="6">
        <v>5</v>
      </c>
      <c r="D3" s="6">
        <v>5</v>
      </c>
      <c r="E3" s="6"/>
      <c r="F3" s="17"/>
      <c r="G3" s="6"/>
      <c r="H3" s="7"/>
      <c r="I3" s="7"/>
    </row>
    <row r="4" spans="1:9" x14ac:dyDescent="0.25">
      <c r="A4" s="7" t="s">
        <v>31</v>
      </c>
      <c r="B4" s="7" t="s">
        <v>1</v>
      </c>
      <c r="C4" s="6">
        <v>17</v>
      </c>
      <c r="D4" s="6">
        <v>17</v>
      </c>
      <c r="E4" s="6"/>
      <c r="F4" s="17"/>
      <c r="G4" s="6"/>
      <c r="H4" s="7"/>
      <c r="I4" s="7"/>
    </row>
    <row r="5" spans="1:9" x14ac:dyDescent="0.25">
      <c r="A5" s="7"/>
      <c r="B5" s="7"/>
      <c r="C5" s="6"/>
      <c r="D5" s="6"/>
      <c r="E5" s="6"/>
      <c r="F5" s="17"/>
      <c r="G5" s="6"/>
      <c r="H5" s="7"/>
      <c r="I5" s="7"/>
    </row>
    <row r="6" spans="1:9" ht="30" x14ac:dyDescent="0.25">
      <c r="A6" s="20" t="s">
        <v>14</v>
      </c>
      <c r="B6" s="7" t="s">
        <v>2</v>
      </c>
      <c r="C6" s="9">
        <v>2.5</v>
      </c>
      <c r="D6" s="9">
        <f>C6*E6</f>
        <v>250</v>
      </c>
      <c r="E6" s="10">
        <v>100</v>
      </c>
      <c r="F6" s="7" t="str">
        <f>A6</f>
        <v>?? Very bad move</v>
      </c>
      <c r="G6" s="5" t="s">
        <v>78</v>
      </c>
      <c r="H6" s="7" t="s">
        <v>39</v>
      </c>
      <c r="I6" s="7" t="s">
        <v>42</v>
      </c>
    </row>
    <row r="7" spans="1:9" ht="30" x14ac:dyDescent="0.25">
      <c r="A7" s="20" t="s">
        <v>15</v>
      </c>
      <c r="B7" s="7" t="s">
        <v>3</v>
      </c>
      <c r="C7" s="9">
        <v>1.5</v>
      </c>
      <c r="D7" s="9">
        <f t="shared" ref="D7:D19" si="0">C7*E7</f>
        <v>150</v>
      </c>
      <c r="E7" s="10">
        <v>100</v>
      </c>
      <c r="F7" s="7" t="str">
        <f>A7</f>
        <v>? Bad move</v>
      </c>
      <c r="G7" s="5" t="s">
        <v>78</v>
      </c>
      <c r="H7" s="7" t="s">
        <v>38</v>
      </c>
      <c r="I7" s="7" t="s">
        <v>43</v>
      </c>
    </row>
    <row r="8" spans="1:9" ht="45" x14ac:dyDescent="0.25">
      <c r="A8" s="20" t="s">
        <v>16</v>
      </c>
      <c r="B8" s="7" t="s">
        <v>4</v>
      </c>
      <c r="C8" s="9">
        <v>0.3</v>
      </c>
      <c r="D8" s="9">
        <f t="shared" si="0"/>
        <v>30</v>
      </c>
      <c r="E8" s="10">
        <v>100</v>
      </c>
      <c r="F8" s="7" t="str">
        <f>A8</f>
        <v>?! Questionable move</v>
      </c>
      <c r="G8" s="5" t="s">
        <v>81</v>
      </c>
      <c r="H8" s="7"/>
      <c r="I8" s="7" t="s">
        <v>44</v>
      </c>
    </row>
    <row r="9" spans="1:9" x14ac:dyDescent="0.25">
      <c r="A9" s="5"/>
      <c r="B9" s="5"/>
      <c r="C9" s="9"/>
      <c r="D9" s="9"/>
      <c r="E9" s="10"/>
      <c r="F9" s="7"/>
      <c r="G9" s="12"/>
      <c r="H9" s="7"/>
      <c r="I9" s="7"/>
    </row>
    <row r="10" spans="1:9" ht="60" x14ac:dyDescent="0.25">
      <c r="A10" s="21" t="s">
        <v>17</v>
      </c>
      <c r="B10" s="5" t="s">
        <v>5</v>
      </c>
      <c r="C10" s="13">
        <v>0</v>
      </c>
      <c r="D10" s="13">
        <v>0</v>
      </c>
      <c r="E10" s="14"/>
      <c r="F10" s="7" t="str">
        <f>A10</f>
        <v>!! Very good move</v>
      </c>
      <c r="G10" s="5" t="s">
        <v>82</v>
      </c>
      <c r="H10" s="5"/>
      <c r="I10" s="7" t="s">
        <v>76</v>
      </c>
    </row>
    <row r="11" spans="1:9" ht="45" x14ac:dyDescent="0.25">
      <c r="A11" s="21" t="s">
        <v>18</v>
      </c>
      <c r="B11" s="5" t="s">
        <v>6</v>
      </c>
      <c r="C11" s="13">
        <v>0.3</v>
      </c>
      <c r="D11" s="13">
        <f t="shared" si="0"/>
        <v>30</v>
      </c>
      <c r="E11" s="14">
        <v>100</v>
      </c>
      <c r="F11" s="7" t="str">
        <f>A11</f>
        <v>! Good move</v>
      </c>
      <c r="G11" s="15" t="s">
        <v>79</v>
      </c>
      <c r="H11" s="5"/>
      <c r="I11" s="7" t="s">
        <v>45</v>
      </c>
    </row>
    <row r="12" spans="1:9" ht="45" x14ac:dyDescent="0.25">
      <c r="A12" s="21" t="s">
        <v>19</v>
      </c>
      <c r="B12" s="5" t="s">
        <v>7</v>
      </c>
      <c r="C12" s="13">
        <v>0.3</v>
      </c>
      <c r="D12" s="13">
        <f t="shared" si="0"/>
        <v>30</v>
      </c>
      <c r="E12" s="14">
        <v>100</v>
      </c>
      <c r="F12" s="7" t="str">
        <f>A12</f>
        <v>!? Interesting move</v>
      </c>
      <c r="G12" s="5" t="s">
        <v>80</v>
      </c>
      <c r="H12" s="5"/>
      <c r="I12" s="7" t="s">
        <v>48</v>
      </c>
    </row>
    <row r="13" spans="1:9" x14ac:dyDescent="0.25">
      <c r="A13" s="5"/>
      <c r="B13" s="5"/>
      <c r="C13" s="9"/>
      <c r="D13" s="9"/>
      <c r="E13" s="10"/>
      <c r="F13" s="7"/>
      <c r="G13" s="12"/>
      <c r="H13" s="7"/>
      <c r="I13" s="7"/>
    </row>
    <row r="14" spans="1:9" x14ac:dyDescent="0.25">
      <c r="A14" s="5" t="s">
        <v>33</v>
      </c>
      <c r="B14" s="5" t="s">
        <v>8</v>
      </c>
      <c r="C14" s="9">
        <v>0.5</v>
      </c>
      <c r="D14" s="13">
        <f t="shared" si="0"/>
        <v>50</v>
      </c>
      <c r="E14" s="10">
        <v>100</v>
      </c>
      <c r="F14" s="7"/>
      <c r="G14" s="12"/>
      <c r="H14" s="7"/>
      <c r="I14" s="7"/>
    </row>
    <row r="15" spans="1:9" x14ac:dyDescent="0.25">
      <c r="A15" s="5" t="s">
        <v>34</v>
      </c>
      <c r="B15" s="5" t="s">
        <v>9</v>
      </c>
      <c r="C15" s="9">
        <v>-0.5</v>
      </c>
      <c r="D15" s="13">
        <f t="shared" si="0"/>
        <v>-50</v>
      </c>
      <c r="E15" s="10">
        <v>100</v>
      </c>
      <c r="F15" s="7"/>
      <c r="G15" s="12"/>
      <c r="H15" s="7"/>
      <c r="I15" s="7"/>
    </row>
    <row r="16" spans="1:9" x14ac:dyDescent="0.25">
      <c r="A16" s="5"/>
      <c r="B16" s="5"/>
      <c r="C16" s="9"/>
      <c r="D16" s="9"/>
      <c r="E16" s="10"/>
      <c r="F16" s="7"/>
      <c r="G16" s="12"/>
      <c r="H16" s="7"/>
      <c r="I16" s="7"/>
    </row>
    <row r="17" spans="1:9" x14ac:dyDescent="0.25">
      <c r="A17" s="5" t="s">
        <v>83</v>
      </c>
      <c r="B17" s="5" t="s">
        <v>10</v>
      </c>
      <c r="C17" s="9">
        <v>3.5</v>
      </c>
      <c r="D17" s="13">
        <f t="shared" si="0"/>
        <v>350</v>
      </c>
      <c r="E17" s="10">
        <v>100</v>
      </c>
      <c r="F17" s="7"/>
      <c r="G17" s="12"/>
      <c r="H17" s="7"/>
      <c r="I17" s="7"/>
    </row>
    <row r="18" spans="1:9" x14ac:dyDescent="0.25">
      <c r="A18" s="5" t="s">
        <v>84</v>
      </c>
      <c r="B18" s="5" t="s">
        <v>11</v>
      </c>
      <c r="C18" s="9">
        <v>2.5</v>
      </c>
      <c r="D18" s="13">
        <f t="shared" si="0"/>
        <v>250</v>
      </c>
      <c r="E18" s="10">
        <v>100</v>
      </c>
      <c r="F18" s="7"/>
      <c r="G18" s="12"/>
      <c r="H18" s="7"/>
      <c r="I18" s="7"/>
    </row>
    <row r="19" spans="1:9" x14ac:dyDescent="0.25">
      <c r="A19" s="5" t="s">
        <v>85</v>
      </c>
      <c r="B19" s="5" t="s">
        <v>12</v>
      </c>
      <c r="C19" s="9">
        <v>0.7</v>
      </c>
      <c r="D19" s="13">
        <f t="shared" si="0"/>
        <v>70</v>
      </c>
      <c r="E19" s="10">
        <v>100</v>
      </c>
      <c r="F19" s="7"/>
      <c r="G19" s="12"/>
      <c r="H19" s="7"/>
      <c r="I19" s="7"/>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74C8E-A8CD-4637-AE41-91221426AE3A}">
  <dimension ref="A1:F10"/>
  <sheetViews>
    <sheetView workbookViewId="0">
      <selection activeCell="B6" sqref="B6"/>
    </sheetView>
  </sheetViews>
  <sheetFormatPr defaultRowHeight="15" x14ac:dyDescent="0.25"/>
  <cols>
    <col min="1" max="1" width="21.42578125" customWidth="1"/>
    <col min="2" max="2" width="14.7109375" customWidth="1"/>
    <col min="3" max="3" width="15" style="19" bestFit="1" customWidth="1"/>
    <col min="4" max="6" width="26.42578125" customWidth="1"/>
  </cols>
  <sheetData>
    <row r="1" spans="1:6" ht="29.25" customHeight="1" x14ac:dyDescent="0.25">
      <c r="A1" s="4" t="s">
        <v>69</v>
      </c>
      <c r="B1" s="23" t="s">
        <v>55</v>
      </c>
      <c r="C1" s="16" t="s">
        <v>56</v>
      </c>
      <c r="D1" s="11" t="s">
        <v>67</v>
      </c>
      <c r="E1" s="11" t="s">
        <v>66</v>
      </c>
      <c r="F1" s="4" t="s">
        <v>65</v>
      </c>
    </row>
    <row r="2" spans="1:6" ht="60" x14ac:dyDescent="0.25">
      <c r="A2" s="5" t="s">
        <v>32</v>
      </c>
      <c r="B2" s="24" t="s">
        <v>23</v>
      </c>
      <c r="C2" s="18"/>
      <c r="D2" s="5" t="s">
        <v>59</v>
      </c>
      <c r="E2" s="5" t="s">
        <v>47</v>
      </c>
      <c r="F2" s="5"/>
    </row>
    <row r="3" spans="1:6" ht="60" x14ac:dyDescent="0.25">
      <c r="A3" s="5" t="s">
        <v>46</v>
      </c>
      <c r="B3" s="24" t="s">
        <v>24</v>
      </c>
      <c r="C3" s="18" t="s">
        <v>37</v>
      </c>
      <c r="D3" s="5" t="s">
        <v>60</v>
      </c>
      <c r="E3" s="8"/>
      <c r="F3" s="5" t="s">
        <v>75</v>
      </c>
    </row>
    <row r="4" spans="1:6" ht="60" x14ac:dyDescent="0.25">
      <c r="A4" s="5" t="s">
        <v>49</v>
      </c>
      <c r="B4" s="24" t="s">
        <v>27</v>
      </c>
      <c r="C4" s="18" t="s">
        <v>41</v>
      </c>
      <c r="D4" s="5" t="s">
        <v>61</v>
      </c>
      <c r="E4" s="8"/>
      <c r="F4" s="5" t="s">
        <v>74</v>
      </c>
    </row>
    <row r="5" spans="1:6" ht="105" x14ac:dyDescent="0.25">
      <c r="A5" s="5" t="s">
        <v>73</v>
      </c>
      <c r="B5" s="24" t="s">
        <v>25</v>
      </c>
      <c r="C5" s="18"/>
      <c r="D5" s="5" t="s">
        <v>62</v>
      </c>
      <c r="E5" s="5" t="s">
        <v>68</v>
      </c>
      <c r="F5" s="5"/>
    </row>
    <row r="6" spans="1:6" ht="60" x14ac:dyDescent="0.25">
      <c r="A6" s="5" t="s">
        <v>72</v>
      </c>
      <c r="B6" s="24" t="s">
        <v>26</v>
      </c>
      <c r="C6" s="18" t="s">
        <v>40</v>
      </c>
      <c r="D6" s="5" t="s">
        <v>63</v>
      </c>
      <c r="E6" s="8"/>
      <c r="F6" s="5" t="s">
        <v>77</v>
      </c>
    </row>
    <row r="7" spans="1:6" x14ac:dyDescent="0.25">
      <c r="A7" s="5" t="s">
        <v>29</v>
      </c>
      <c r="B7" s="24" t="s">
        <v>28</v>
      </c>
      <c r="C7" s="18"/>
      <c r="D7" s="5" t="s">
        <v>64</v>
      </c>
      <c r="E7" s="8"/>
      <c r="F7" s="5"/>
    </row>
    <row r="8" spans="1:6" x14ac:dyDescent="0.25">
      <c r="A8" s="5"/>
      <c r="B8" s="24"/>
      <c r="C8" s="18"/>
      <c r="D8" s="6"/>
      <c r="E8" s="6"/>
      <c r="F8" s="7"/>
    </row>
    <row r="9" spans="1:6" ht="30" x14ac:dyDescent="0.25">
      <c r="A9" s="5" t="s">
        <v>35</v>
      </c>
      <c r="B9" s="24" t="s">
        <v>57</v>
      </c>
      <c r="C9" s="18"/>
      <c r="D9" s="6"/>
      <c r="E9" s="6"/>
      <c r="F9" s="7"/>
    </row>
    <row r="10" spans="1:6" ht="60" x14ac:dyDescent="0.25">
      <c r="A10" s="5" t="s">
        <v>36</v>
      </c>
      <c r="B10" s="24" t="s">
        <v>58</v>
      </c>
      <c r="C10" s="18"/>
      <c r="D10" s="6"/>
      <c r="E10" s="6"/>
      <c r="F10" s="7"/>
    </row>
  </sheetData>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F4B9C-E2B0-4B88-8167-341CBE3E8515}">
  <dimension ref="A1:A35"/>
  <sheetViews>
    <sheetView workbookViewId="0">
      <selection activeCell="A11" sqref="A11"/>
    </sheetView>
  </sheetViews>
  <sheetFormatPr defaultRowHeight="15" x14ac:dyDescent="0.25"/>
  <cols>
    <col min="1" max="1" width="134" style="1" customWidth="1"/>
  </cols>
  <sheetData>
    <row r="1" spans="1:1" x14ac:dyDescent="0.25">
      <c r="A1" s="1" t="s">
        <v>86</v>
      </c>
    </row>
    <row r="2" spans="1:1" x14ac:dyDescent="0.25">
      <c r="A2" s="1" t="s">
        <v>87</v>
      </c>
    </row>
    <row r="4" spans="1:1" x14ac:dyDescent="0.25">
      <c r="A4" s="1" t="s">
        <v>88</v>
      </c>
    </row>
    <row r="5" spans="1:1" x14ac:dyDescent="0.25">
      <c r="A5" s="1" t="s">
        <v>89</v>
      </c>
    </row>
    <row r="6" spans="1:1" x14ac:dyDescent="0.25">
      <c r="A6" s="1" t="s">
        <v>90</v>
      </c>
    </row>
    <row r="7" spans="1:1" x14ac:dyDescent="0.25">
      <c r="A7" s="1" t="s">
        <v>91</v>
      </c>
    </row>
    <row r="8" spans="1:1" x14ac:dyDescent="0.25">
      <c r="A8" s="1" t="s">
        <v>92</v>
      </c>
    </row>
    <row r="9" spans="1:1" x14ac:dyDescent="0.25">
      <c r="A9" s="1" t="s">
        <v>93</v>
      </c>
    </row>
    <row r="10" spans="1:1" x14ac:dyDescent="0.25">
      <c r="A10" s="1" t="s">
        <v>94</v>
      </c>
    </row>
    <row r="12" spans="1:1" ht="30" x14ac:dyDescent="0.25">
      <c r="A12" s="1" t="s">
        <v>95</v>
      </c>
    </row>
    <row r="14" spans="1:1" x14ac:dyDescent="0.25">
      <c r="A14" s="1" t="s">
        <v>96</v>
      </c>
    </row>
    <row r="15" spans="1:1" ht="75" x14ac:dyDescent="0.25">
      <c r="A15" s="1" t="s">
        <v>97</v>
      </c>
    </row>
    <row r="17" spans="1:1" ht="90" x14ac:dyDescent="0.25">
      <c r="A17" s="1" t="s">
        <v>98</v>
      </c>
    </row>
    <row r="19" spans="1:1" x14ac:dyDescent="0.25">
      <c r="A19" s="1" t="s">
        <v>99</v>
      </c>
    </row>
    <row r="20" spans="1:1" x14ac:dyDescent="0.25">
      <c r="A20" s="1" t="s">
        <v>100</v>
      </c>
    </row>
    <row r="21" spans="1:1" x14ac:dyDescent="0.25">
      <c r="A21" s="1" t="s">
        <v>101</v>
      </c>
    </row>
    <row r="22" spans="1:1" x14ac:dyDescent="0.25">
      <c r="A22" s="1" t="s">
        <v>102</v>
      </c>
    </row>
    <row r="23" spans="1:1" x14ac:dyDescent="0.25">
      <c r="A23" s="1" t="s">
        <v>103</v>
      </c>
    </row>
    <row r="24" spans="1:1" x14ac:dyDescent="0.25">
      <c r="A24" s="1" t="s">
        <v>104</v>
      </c>
    </row>
    <row r="25" spans="1:1" x14ac:dyDescent="0.25">
      <c r="A25" s="1" t="s">
        <v>105</v>
      </c>
    </row>
    <row r="27" spans="1:1" x14ac:dyDescent="0.25">
      <c r="A27" s="1" t="s">
        <v>106</v>
      </c>
    </row>
    <row r="28" spans="1:1" x14ac:dyDescent="0.25">
      <c r="A28" s="1" t="s">
        <v>107</v>
      </c>
    </row>
    <row r="29" spans="1:1" x14ac:dyDescent="0.25">
      <c r="A29" s="1" t="s">
        <v>108</v>
      </c>
    </row>
    <row r="30" spans="1:1" x14ac:dyDescent="0.25">
      <c r="A30" s="1" t="s">
        <v>109</v>
      </c>
    </row>
    <row r="31" spans="1:1" x14ac:dyDescent="0.25">
      <c r="A31" s="1" t="s">
        <v>110</v>
      </c>
    </row>
    <row r="32" spans="1:1" x14ac:dyDescent="0.25">
      <c r="A32" s="1" t="s">
        <v>111</v>
      </c>
    </row>
    <row r="34" spans="1:1" x14ac:dyDescent="0.25">
      <c r="A34" s="1" t="s">
        <v>141</v>
      </c>
    </row>
    <row r="35" spans="1:1" x14ac:dyDescent="0.25">
      <c r="A35" s="1" t="s">
        <v>142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A8D9C-0E29-4F4A-ACB5-3E10831D79E8}">
  <dimension ref="A1:A37"/>
  <sheetViews>
    <sheetView tabSelected="1" workbookViewId="0">
      <selection activeCell="A34" sqref="A34"/>
    </sheetView>
  </sheetViews>
  <sheetFormatPr defaultRowHeight="15" x14ac:dyDescent="0.25"/>
  <cols>
    <col min="1" max="1" width="80.42578125" style="1" customWidth="1"/>
  </cols>
  <sheetData>
    <row r="1" spans="1:1" x14ac:dyDescent="0.25">
      <c r="A1" s="1" t="s">
        <v>112</v>
      </c>
    </row>
    <row r="2" spans="1:1" x14ac:dyDescent="0.25">
      <c r="A2" s="1" t="s">
        <v>113</v>
      </c>
    </row>
    <row r="3" spans="1:1" x14ac:dyDescent="0.25">
      <c r="A3" s="1" t="s">
        <v>114</v>
      </c>
    </row>
    <row r="5" spans="1:1" x14ac:dyDescent="0.25">
      <c r="A5" s="1" t="s">
        <v>115</v>
      </c>
    </row>
    <row r="6" spans="1:1" x14ac:dyDescent="0.25">
      <c r="A6" s="1" t="s">
        <v>116</v>
      </c>
    </row>
    <row r="7" spans="1:1" ht="30" x14ac:dyDescent="0.25">
      <c r="A7" s="1" t="s">
        <v>117</v>
      </c>
    </row>
    <row r="8" spans="1:1" x14ac:dyDescent="0.25">
      <c r="A8" s="1" t="s">
        <v>118</v>
      </c>
    </row>
    <row r="10" spans="1:1" x14ac:dyDescent="0.25">
      <c r="A10" s="1" t="s">
        <v>119</v>
      </c>
    </row>
    <row r="11" spans="1:1" x14ac:dyDescent="0.25">
      <c r="A11" s="1" t="s">
        <v>120</v>
      </c>
    </row>
    <row r="12" spans="1:1" x14ac:dyDescent="0.25">
      <c r="A12" s="1" t="s">
        <v>121</v>
      </c>
    </row>
    <row r="13" spans="1:1" x14ac:dyDescent="0.25">
      <c r="A13" s="1" t="s">
        <v>122</v>
      </c>
    </row>
    <row r="15" spans="1:1" x14ac:dyDescent="0.25">
      <c r="A15" s="1" t="s">
        <v>123</v>
      </c>
    </row>
    <row r="16" spans="1:1" ht="30" x14ac:dyDescent="0.25">
      <c r="A16" s="1" t="s">
        <v>124</v>
      </c>
    </row>
    <row r="17" spans="1:1" x14ac:dyDescent="0.25">
      <c r="A17" s="1" t="s">
        <v>125</v>
      </c>
    </row>
    <row r="19" spans="1:1" x14ac:dyDescent="0.25">
      <c r="A19" s="1" t="s">
        <v>114</v>
      </c>
    </row>
    <row r="20" spans="1:1" x14ac:dyDescent="0.25">
      <c r="A20" s="1" t="s">
        <v>126</v>
      </c>
    </row>
    <row r="21" spans="1:1" x14ac:dyDescent="0.25">
      <c r="A21" s="1" t="s">
        <v>127</v>
      </c>
    </row>
    <row r="22" spans="1:1" x14ac:dyDescent="0.25">
      <c r="A22" s="1" t="s">
        <v>128</v>
      </c>
    </row>
    <row r="24" spans="1:1" x14ac:dyDescent="0.25">
      <c r="A24" s="1" t="s">
        <v>129</v>
      </c>
    </row>
    <row r="25" spans="1:1" ht="30" x14ac:dyDescent="0.25">
      <c r="A25" s="1" t="s">
        <v>130</v>
      </c>
    </row>
    <row r="26" spans="1:1" x14ac:dyDescent="0.25">
      <c r="A26" s="1" t="s">
        <v>131</v>
      </c>
    </row>
    <row r="27" spans="1:1" x14ac:dyDescent="0.25">
      <c r="A27" s="1" t="s">
        <v>132</v>
      </c>
    </row>
    <row r="28" spans="1:1" x14ac:dyDescent="0.25">
      <c r="A28" s="1" t="s">
        <v>133</v>
      </c>
    </row>
    <row r="29" spans="1:1" x14ac:dyDescent="0.25">
      <c r="A29" s="1" t="s">
        <v>134</v>
      </c>
    </row>
    <row r="31" spans="1:1" x14ac:dyDescent="0.25">
      <c r="A31" s="1" t="s">
        <v>135</v>
      </c>
    </row>
    <row r="32" spans="1:1" x14ac:dyDescent="0.25">
      <c r="A32" s="1" t="s">
        <v>136</v>
      </c>
    </row>
    <row r="33" spans="1:1" x14ac:dyDescent="0.25">
      <c r="A33" s="1" t="s">
        <v>137</v>
      </c>
    </row>
    <row r="35" spans="1:1" x14ac:dyDescent="0.25">
      <c r="A35" s="1" t="s">
        <v>138</v>
      </c>
    </row>
    <row r="36" spans="1:1" ht="30" x14ac:dyDescent="0.25">
      <c r="A36" s="1" t="s">
        <v>139</v>
      </c>
    </row>
    <row r="37" spans="1:1" x14ac:dyDescent="0.25">
      <c r="A37" s="1" t="s">
        <v>140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Parameters</vt:lpstr>
      <vt:lpstr>Cambridge</vt:lpstr>
      <vt:lpstr>Texts</vt:lpstr>
      <vt:lpstr>Code</vt:lpstr>
      <vt:lpstr>Cambridge!Print_Area</vt:lpstr>
      <vt:lpstr>Code!Print_Area</vt:lpstr>
      <vt:lpstr>Parameters!Print_Area</vt:lpstr>
      <vt:lpstr>Texts!Print_Area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Sjöblom, Johan</dc:creator>
  <cp:lastModifiedBy>Johan Sjöblom</cp:lastModifiedBy>
  <cp:lastPrinted>2025-03-31T16:36:41Z</cp:lastPrinted>
  <dcterms:created xsi:type="dcterms:W3CDTF">2015-06-05T18:17:20Z</dcterms:created>
  <dcterms:modified xsi:type="dcterms:W3CDTF">2025-03-31T16:37:21Z</dcterms:modified>
</cp:coreProperties>
</file>